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uns" sheetId="2" state="visible" r:id="rId4"/>
    <sheet name="Circuits" sheetId="3" state="visible" r:id="rId5"/>
  </sheets>
  <definedNames>
    <definedName function="false" hidden="true" localSheetId="1" name="_xlnm._FilterDatabase" vbProcedure="false">Runs!$A$1:$P$23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Counted from the raw counts file: shots whose bitstring is a copper map that fits the measured warpage better than the start map.</t>
        </r>
      </text>
    </comment>
    <comment ref="N1" authorId="0">
      <text>
        <r>
          <rPr>
            <sz val="10"/>
            <rFont val="Arial"/>
            <family val="2"/>
          </rPr>
          <t xml:space="preserve">Linear cross-entropy fidelity against the exact ideal distribution, computed from the counts file (hardware_9q/score_9q.py, hardware_12q/common.py). 1 = ideal output, 0 = uniform noise.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Share of all possible copper maps that fit the measurement better than the start map. Source: hardware_9q/experiment_spec.json and hardware_12q/spec_12q.json.</t>
        </r>
      </text>
    </comment>
    <comment ref="C1" authorId="0">
      <text>
        <r>
          <rPr>
            <sz val="10"/>
            <rFont val="Arial"/>
            <family val="2"/>
          </rPr>
          <t xml:space="preserve">Exact noiseless probability that one proposal step returns a better map. Same source files.</t>
        </r>
      </text>
    </comment>
  </commentList>
</comments>
</file>

<file path=xl/sharedStrings.xml><?xml version="1.0" encoding="utf-8"?>
<sst xmlns="http://schemas.openxmlformats.org/spreadsheetml/2006/main" count="207" uniqueCount="129">
  <si>
    <t xml:space="preserve">The Warm Icing Model: every quantum run</t>
  </si>
  <si>
    <t xml:space="preserve">One row per run. Runs are never pooled. Each row names its raw counts file in the repository.</t>
  </si>
  <si>
    <t xml:space="preserve">Each circuit starts from a copper map that is a false optimum (no single-region change improves the fit). Each shot proposes a new map.</t>
  </si>
  <si>
    <t xml:space="preserve">Better-map rate = shots proposing a better-fitting map / shots.</t>
  </si>
  <si>
    <t xml:space="preserve">Share of ideal gain = (better-map rate - random guessing) / (ideal - random guessing). 100% = noise-free quantum computer, 0% = random guessing. With 100 to 300 shots this has a wide error bar.</t>
  </si>
  <si>
    <t xml:space="preserve">XEB fidelity: how closely all outcomes follow the exact ideal distribution (1 = ideal, 0 = noise). It uses every shot, so it separates machines even at 100 shots.</t>
  </si>
  <si>
    <t xml:space="preserve">Blue cells: values counted or computed from the raw counts files. Black: formulas. Green: links to the Circuits sheet.</t>
  </si>
  <si>
    <t xml:space="preserve">Notes</t>
  </si>
  <si>
    <t xml:space="preserve">IonQ jobs were submitted without debiasing, so each count is a direct hardware measurement.</t>
  </si>
  <si>
    <t xml:space="preserve">Rigetti results returned through qBraid list qubit 0 first; they are reversed to Qiskit order before scoring.</t>
  </si>
  <si>
    <t xml:space="preserve">Two earlier submissions to IonQ Forte 1 through OpenQuantum on Oct 11 (100 and 1,000 shots) failed before running and returned no data.</t>
  </si>
  <si>
    <t xml:space="preserve">Costs: qBraid credits are $0.01 each; total 956.72 credits ($9.57). Qollab: 104.13 credits for the three IonQ hardware runs (25.79 for Forte Enterprise 1, 78.34 for the two Forte 1 runs). IBM runs used 28 s of the free Open Plan. All simulator runs were free.</t>
  </si>
  <si>
    <t xml:space="preserve">Dates are as shown in the provider dashboards; IonQ job dates are read from the job IDs.</t>
  </si>
  <si>
    <t xml:space="preserve">To recompute every hardware number: python verify_all.py --specs</t>
  </si>
  <si>
    <t xml:space="preserve">Circuit (qubits)</t>
  </si>
  <si>
    <t xml:space="preserve">Run</t>
  </si>
  <si>
    <t xml:space="preserve">Type</t>
  </si>
  <si>
    <t xml:space="preserve">Vendor</t>
  </si>
  <si>
    <t xml:space="preserve">Access route</t>
  </si>
  <si>
    <t xml:space="preserve">Date</t>
  </si>
  <si>
    <t xml:space="preserve">Job ID</t>
  </si>
  <si>
    <t xml:space="preserve">Shots</t>
  </si>
  <si>
    <t xml:space="preserve">Shots proposing a better map</t>
  </si>
  <si>
    <t xml:space="preserve">Better-map rate</t>
  </si>
  <si>
    <t xml:space="preserve">Random guessing</t>
  </si>
  <si>
    <t xml:space="preserve">Ideal quantum computer</t>
  </si>
  <si>
    <t xml:space="preserve">Share of ideal gain</t>
  </si>
  <si>
    <t xml:space="preserve">XEB fidelity</t>
  </si>
  <si>
    <t xml:space="preserve">Cost or usage</t>
  </si>
  <si>
    <t xml:space="preserve">Raw counts file</t>
  </si>
  <si>
    <t xml:space="preserve">IonQ Forte-1, run 1</t>
  </si>
  <si>
    <t xml:space="preserve">Real hardware</t>
  </si>
  <si>
    <t xml:space="preserve">IonQ</t>
  </si>
  <si>
    <t xml:space="preserve">Qollab</t>
  </si>
  <si>
    <t xml:space="preserve">2026-10-10</t>
  </si>
  <si>
    <t xml:space="preserve">01a12641-6855-7e9f-baa8-d88c7f968604</t>
  </si>
  <si>
    <t xml:space="preserve">78.34 Qollab credits for runs 1 and 2 together</t>
  </si>
  <si>
    <t xml:space="preserve">hardware_9q/counts/counts_ionq_forte_B_start357.json</t>
  </si>
  <si>
    <t xml:space="preserve">IonQ Forte-1, run 2</t>
  </si>
  <si>
    <t xml:space="preserve">01a1264d-15e9-7770-b296-cf630736e1e1</t>
  </si>
  <si>
    <t xml:space="preserve">included in run 1 figure</t>
  </si>
  <si>
    <t xml:space="preserve">hardware_9q/counts/counts_ionq_forte_B_start357_run2.json</t>
  </si>
  <si>
    <t xml:space="preserve">IonQ Forte-1, run 3</t>
  </si>
  <si>
    <t xml:space="preserve">qBraid (OpenQuantum)</t>
  </si>
  <si>
    <t xml:space="preserve">2026-10-11</t>
  </si>
  <si>
    <t xml:space="preserve">openquantum:ionq:qpu:forte-1-9d9b-qjob-6acba2dff9565d14eeb9a4c5</t>
  </si>
  <si>
    <t xml:space="preserve">0 (OpenQuantum free tier)</t>
  </si>
  <si>
    <t xml:space="preserve">hardware_9q/counts/counts_ionq_forte1_run3_qbraid_oq_100.json</t>
  </si>
  <si>
    <t xml:space="preserve">IonQ Forte Enterprise 1</t>
  </si>
  <si>
    <t xml:space="preserve">01a12b63-5673-7a31-b473-92a8393b8a8f</t>
  </si>
  <si>
    <t xml:space="preserve">25.79 Qollab credits</t>
  </si>
  <si>
    <t xml:space="preserve">hardware_9q/counts/counts_ionq_forte_ent1_B_start357_100.json</t>
  </si>
  <si>
    <t xml:space="preserve">IBM Fez</t>
  </si>
  <si>
    <t xml:space="preserve">IBM</t>
  </si>
  <si>
    <t xml:space="preserve">IBM Quantum</t>
  </si>
  <si>
    <t xml:space="preserve">db54ko84qg6s73c2vffg</t>
  </si>
  <si>
    <t xml:space="preserve">6 s, IBM open plan</t>
  </si>
  <si>
    <t xml:space="preserve">hardware_9q/counts/counts_ibm_fez.json</t>
  </si>
  <si>
    <t xml:space="preserve">IBM Kingston, run 1</t>
  </si>
  <si>
    <t xml:space="preserve">db549v4lf4us73c3h7vg</t>
  </si>
  <si>
    <t xml:space="preserve">hardware_9q/counts/counts_ibm_kingston.json</t>
  </si>
  <si>
    <t xml:space="preserve">IBM Kingston, run 2</t>
  </si>
  <si>
    <t xml:space="preserve">db5q0a04qg6s73c3quj0</t>
  </si>
  <si>
    <t xml:space="preserve">hardware_9q/counts/counts_ibm_kingston_run2.json</t>
  </si>
  <si>
    <t xml:space="preserve">IBM Marrakesh</t>
  </si>
  <si>
    <t xml:space="preserve">db54k04vf2bc73cvd4l0</t>
  </si>
  <si>
    <t xml:space="preserve">hardware_9q/counts/counts_ibm_marrakesh.json</t>
  </si>
  <si>
    <t xml:space="preserve">Rigetti Cepheus</t>
  </si>
  <si>
    <t xml:space="preserve">Rigetti</t>
  </si>
  <si>
    <t xml:space="preserve">qBraid</t>
  </si>
  <si>
    <t xml:space="preserve">rigetti:rigetti:qpu:cepheus-1-108q-9d9b-qjob-6aca54aff9565d14eeb50616</t>
  </si>
  <si>
    <t xml:space="preserve">60.27 qBraid credits</t>
  </si>
  <si>
    <t xml:space="preserve">hardware_9q/counts/counts_rigetti_cepheus.json</t>
  </si>
  <si>
    <t xml:space="preserve">IonQ Forte-1 noise model</t>
  </si>
  <si>
    <t xml:space="preserve">Noise-model simulation</t>
  </si>
  <si>
    <t xml:space="preserve">IonQ cloud simulator</t>
  </si>
  <si>
    <t xml:space="preserve">not recorded (IonQ cloud simulator)</t>
  </si>
  <si>
    <t xml:space="preserve">free (IonQ cloud simulator)</t>
  </si>
  <si>
    <t xml:space="preserve">hardware_9q/counts/counts_ionqsim_5000.json</t>
  </si>
  <si>
    <t xml:space="preserve">IBM Kingston noise model</t>
  </si>
  <si>
    <t xml:space="preserve">Qiskit FakeKingston</t>
  </si>
  <si>
    <t xml:space="preserve">none (local simulation)</t>
  </si>
  <si>
    <t xml:space="preserve">free (local)</t>
  </si>
  <si>
    <t xml:space="preserve">hardware_9q/counts/counts_fake_kingston_1791639956.json</t>
  </si>
  <si>
    <t xml:space="preserve">qBraid (AWS)</t>
  </si>
  <si>
    <t xml:space="preserve">aws:ionq:qpu:forte-enterprise-1-9d9b-qjob-6acacebef9565d14eeb69a86</t>
  </si>
  <si>
    <t xml:space="preserve">830 qBraid credits</t>
  </si>
  <si>
    <t xml:space="preserve">hardware_12q/counts_ionq_forte_ent1_real_100.json</t>
  </si>
  <si>
    <t xml:space="preserve">IBM Kingston</t>
  </si>
  <si>
    <t xml:space="preserve">db5dbm2mb58s738abc3g</t>
  </si>
  <si>
    <t xml:space="preserve">4 s, IBM open plan</t>
  </si>
  <si>
    <t xml:space="preserve">hardware_12q/counts_ibm_kingston_real_2000.json</t>
  </si>
  <si>
    <t xml:space="preserve">rigetti:rigetti:qpu:cepheus-1-108q-9d9b-qjob-6acad71bf9565d14eeb6b59c</t>
  </si>
  <si>
    <t xml:space="preserve">65.88 qBraid credits</t>
  </si>
  <si>
    <t xml:space="preserve">hardware_12q/counts_rigetti_cepheus_12q_1000.json</t>
  </si>
  <si>
    <t xml:space="preserve">IonQ Forte Ent. noise model, run 1</t>
  </si>
  <si>
    <t xml:space="preserve">Qollab (IonQ cloud)</t>
  </si>
  <si>
    <t xml:space="preserve">not shown in the Qollab export</t>
  </si>
  <si>
    <t xml:space="preserve">hardware_12q/counts_ionq_forte_ent_noisemodel_300.json</t>
  </si>
  <si>
    <t xml:space="preserve">IonQ Forte Ent. noise model, run 2</t>
  </si>
  <si>
    <t xml:space="preserve">hardware_12q/counts_ionq_forte_ent_noisemodel_300_run2.json</t>
  </si>
  <si>
    <t xml:space="preserve">IonQ Forte Ent. noise model, run 3</t>
  </si>
  <si>
    <t xml:space="preserve">hardware_12q/counts_ionq_forte_ent_noisemodel_1000.json</t>
  </si>
  <si>
    <t xml:space="preserve">hardware_12q/counts_sim_fake_kingston_300.json</t>
  </si>
  <si>
    <t xml:space="preserve">IBM Marrakesh noise model</t>
  </si>
  <si>
    <t xml:space="preserve">Qiskit FakeMarrakesh</t>
  </si>
  <si>
    <t xml:space="preserve">hardware_12q/counts_sim_fake_marrakesh_300.json</t>
  </si>
  <si>
    <t xml:space="preserve">IBM Fez noise model</t>
  </si>
  <si>
    <t xml:space="preserve">Qiskit FakeFez</t>
  </si>
  <si>
    <t xml:space="preserve">hardware_12q/counts_sim_fake_fez_300.json</t>
  </si>
  <si>
    <t xml:space="preserve">AWS DM1, noiseless</t>
  </si>
  <si>
    <t xml:space="preserve">Ideal simulation</t>
  </si>
  <si>
    <t xml:space="preserve">AWS</t>
  </si>
  <si>
    <t xml:space="preserve">aws:aws:sim:dm1-9d9b-qjob-6acad73af9565d14eeb6b666</t>
  </si>
  <si>
    <t xml:space="preserve">0.57 qBraid credits</t>
  </si>
  <si>
    <t xml:space="preserve">hardware_12q/counts_aws_dm1_sim_1000.json</t>
  </si>
  <si>
    <t xml:space="preserve">Ideal simulator</t>
  </si>
  <si>
    <t xml:space="preserve">Qiskit</t>
  </si>
  <si>
    <t xml:space="preserve">Qiskit Aer</t>
  </si>
  <si>
    <t xml:space="preserve">hardware_12q/counts_sim_ideal_300.json</t>
  </si>
  <si>
    <t xml:space="preserve">Random guessing (better-map rate)</t>
  </si>
  <si>
    <t xml:space="preserve">Ideal quantum computer (better-map rate)</t>
  </si>
  <si>
    <t xml:space="preserve">ZZ interactions</t>
  </si>
  <si>
    <t xml:space="preserve">Trotter steps</t>
  </si>
  <si>
    <t xml:space="preserve">gamma</t>
  </si>
  <si>
    <t xml:space="preserve">t</t>
  </si>
  <si>
    <t xml:space="preserve">Start map (copper-rich regions)</t>
  </si>
  <si>
    <t xml:space="preserve">1, 4, 5, 7</t>
  </si>
  <si>
    <t xml:space="preserve">0, 1, 2, 5, 6, 7, 9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</si>
</sst>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;\-0.0%;0.0%"/>
    <numFmt numFmtId="166" formatCode="0.0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C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FEC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CE5"/>
      <rgbColor rgb="FFCCFFFF"/>
      <rgbColor rgb="FF660066"/>
      <rgbColor rgb="FFFF8080"/>
      <rgbColor rgb="FF0066CC"/>
      <rgbColor rgb="FFD9D5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46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24"/>
    <col collapsed="false" customWidth="true" hidden="false" outlineLevel="0" max="16" min="16" style="0" width="48"/>
  </cols>
  <sheetData>
    <row r="1" customFormat="false" ht="42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</row>
    <row r="2" customFormat="false" ht="15" hidden="false" customHeight="false" outlineLevel="0" collapsed="false">
      <c r="A2" s="5" t="n">
        <v>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6" t="n">
        <v>300</v>
      </c>
      <c r="I2" s="6" t="n">
        <v>105</v>
      </c>
      <c r="J2" s="7" t="n">
        <f aca="false">I2/H2</f>
        <v>0.35</v>
      </c>
      <c r="K2" s="8" t="n">
        <f aca="false">Circuits!$B$2</f>
        <v>0.115</v>
      </c>
      <c r="L2" s="8" t="n">
        <f aca="false">Circuits!$C$2</f>
        <v>0.356</v>
      </c>
      <c r="M2" s="7" t="n">
        <f aca="false">(J2-K2)/(L2-K2)</f>
        <v>0.975103734439834</v>
      </c>
      <c r="N2" s="9" t="n">
        <v>0.957</v>
      </c>
      <c r="O2" s="5" t="s">
        <v>36</v>
      </c>
      <c r="P2" s="5" t="s">
        <v>37</v>
      </c>
    </row>
    <row r="3" customFormat="false" ht="15" hidden="false" customHeight="false" outlineLevel="0" collapsed="false">
      <c r="A3" s="5" t="n">
        <v>9</v>
      </c>
      <c r="B3" s="5" t="s">
        <v>38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39</v>
      </c>
      <c r="H3" s="6" t="n">
        <v>300</v>
      </c>
      <c r="I3" s="6" t="n">
        <v>86</v>
      </c>
      <c r="J3" s="7" t="n">
        <f aca="false">I3/H3</f>
        <v>0.286666666666667</v>
      </c>
      <c r="K3" s="8" t="n">
        <f aca="false">Circuits!$B$2</f>
        <v>0.115</v>
      </c>
      <c r="L3" s="8" t="n">
        <f aca="false">Circuits!$C$2</f>
        <v>0.356</v>
      </c>
      <c r="M3" s="7" t="n">
        <f aca="false">(J3-K3)/(L3-K3)</f>
        <v>0.712309820193638</v>
      </c>
      <c r="N3" s="9" t="n">
        <v>0.65</v>
      </c>
      <c r="O3" s="5" t="s">
        <v>40</v>
      </c>
      <c r="P3" s="5" t="s">
        <v>41</v>
      </c>
    </row>
    <row r="4" customFormat="false" ht="15" hidden="false" customHeight="false" outlineLevel="0" collapsed="false">
      <c r="A4" s="5" t="n">
        <v>9</v>
      </c>
      <c r="B4" s="5" t="s">
        <v>42</v>
      </c>
      <c r="C4" s="5" t="s">
        <v>31</v>
      </c>
      <c r="D4" s="5" t="s">
        <v>32</v>
      </c>
      <c r="E4" s="5" t="s">
        <v>43</v>
      </c>
      <c r="F4" s="5" t="s">
        <v>44</v>
      </c>
      <c r="G4" s="5" t="s">
        <v>45</v>
      </c>
      <c r="H4" s="6" t="n">
        <v>100</v>
      </c>
      <c r="I4" s="6" t="n">
        <v>31</v>
      </c>
      <c r="J4" s="7" t="n">
        <f aca="false">I4/H4</f>
        <v>0.31</v>
      </c>
      <c r="K4" s="8" t="n">
        <f aca="false">Circuits!$B$2</f>
        <v>0.115</v>
      </c>
      <c r="L4" s="8" t="n">
        <f aca="false">Circuits!$C$2</f>
        <v>0.356</v>
      </c>
      <c r="M4" s="7" t="n">
        <f aca="false">(J4-K4)/(L4-K4)</f>
        <v>0.809128630705394</v>
      </c>
      <c r="N4" s="9" t="n">
        <v>0.789</v>
      </c>
      <c r="O4" s="5" t="s">
        <v>46</v>
      </c>
      <c r="P4" s="5" t="s">
        <v>47</v>
      </c>
    </row>
    <row r="5" customFormat="false" ht="15" hidden="false" customHeight="false" outlineLevel="0" collapsed="false">
      <c r="A5" s="5" t="n">
        <v>9</v>
      </c>
      <c r="B5" s="5" t="s">
        <v>48</v>
      </c>
      <c r="C5" s="5" t="s">
        <v>31</v>
      </c>
      <c r="D5" s="5" t="s">
        <v>32</v>
      </c>
      <c r="E5" s="5" t="s">
        <v>33</v>
      </c>
      <c r="F5" s="5" t="s">
        <v>44</v>
      </c>
      <c r="G5" s="5" t="s">
        <v>49</v>
      </c>
      <c r="H5" s="6" t="n">
        <v>100</v>
      </c>
      <c r="I5" s="6" t="n">
        <v>26</v>
      </c>
      <c r="J5" s="7" t="n">
        <f aca="false">I5/H5</f>
        <v>0.26</v>
      </c>
      <c r="K5" s="8" t="n">
        <f aca="false">Circuits!$B$2</f>
        <v>0.115</v>
      </c>
      <c r="L5" s="8" t="n">
        <f aca="false">Circuits!$C$2</f>
        <v>0.356</v>
      </c>
      <c r="M5" s="7" t="n">
        <f aca="false">(J5-K5)/(L5-K5)</f>
        <v>0.601659751037345</v>
      </c>
      <c r="N5" s="9" t="n">
        <v>0.456</v>
      </c>
      <c r="O5" s="5" t="s">
        <v>50</v>
      </c>
      <c r="P5" s="5" t="s">
        <v>51</v>
      </c>
    </row>
    <row r="6" customFormat="false" ht="15" hidden="false" customHeight="false" outlineLevel="0" collapsed="false">
      <c r="A6" s="5" t="n">
        <v>9</v>
      </c>
      <c r="B6" s="5" t="s">
        <v>52</v>
      </c>
      <c r="C6" s="5" t="s">
        <v>31</v>
      </c>
      <c r="D6" s="5" t="s">
        <v>53</v>
      </c>
      <c r="E6" s="5" t="s">
        <v>54</v>
      </c>
      <c r="F6" s="5" t="s">
        <v>34</v>
      </c>
      <c r="G6" s="5" t="s">
        <v>55</v>
      </c>
      <c r="H6" s="6" t="n">
        <v>2000</v>
      </c>
      <c r="I6" s="6" t="n">
        <v>414</v>
      </c>
      <c r="J6" s="7" t="n">
        <f aca="false">I6/H6</f>
        <v>0.207</v>
      </c>
      <c r="K6" s="8" t="n">
        <f aca="false">Circuits!$B$2</f>
        <v>0.115</v>
      </c>
      <c r="L6" s="8" t="n">
        <f aca="false">Circuits!$C$2</f>
        <v>0.356</v>
      </c>
      <c r="M6" s="7" t="n">
        <f aca="false">(J6-K6)/(L6-K6)</f>
        <v>0.381742738589212</v>
      </c>
      <c r="N6" s="9" t="n">
        <v>0.117</v>
      </c>
      <c r="O6" s="5" t="s">
        <v>56</v>
      </c>
      <c r="P6" s="5" t="s">
        <v>57</v>
      </c>
    </row>
    <row r="7" customFormat="false" ht="15" hidden="false" customHeight="false" outlineLevel="0" collapsed="false">
      <c r="A7" s="5" t="n">
        <v>9</v>
      </c>
      <c r="B7" s="5" t="s">
        <v>58</v>
      </c>
      <c r="C7" s="5" t="s">
        <v>31</v>
      </c>
      <c r="D7" s="5" t="s">
        <v>53</v>
      </c>
      <c r="E7" s="5" t="s">
        <v>54</v>
      </c>
      <c r="F7" s="5" t="s">
        <v>34</v>
      </c>
      <c r="G7" s="5" t="s">
        <v>59</v>
      </c>
      <c r="H7" s="6" t="n">
        <v>2000</v>
      </c>
      <c r="I7" s="6" t="n">
        <v>376</v>
      </c>
      <c r="J7" s="7" t="n">
        <f aca="false">I7/H7</f>
        <v>0.188</v>
      </c>
      <c r="K7" s="8" t="n">
        <f aca="false">Circuits!$B$2</f>
        <v>0.115</v>
      </c>
      <c r="L7" s="8" t="n">
        <f aca="false">Circuits!$C$2</f>
        <v>0.356</v>
      </c>
      <c r="M7" s="7" t="n">
        <f aca="false">(J7-K7)/(L7-K7)</f>
        <v>0.302904564315353</v>
      </c>
      <c r="N7" s="9" t="n">
        <v>0.204</v>
      </c>
      <c r="O7" s="5" t="s">
        <v>56</v>
      </c>
      <c r="P7" s="5" t="s">
        <v>60</v>
      </c>
    </row>
    <row r="8" customFormat="false" ht="15" hidden="false" customHeight="false" outlineLevel="0" collapsed="false">
      <c r="A8" s="5" t="n">
        <v>9</v>
      </c>
      <c r="B8" s="5" t="s">
        <v>61</v>
      </c>
      <c r="C8" s="5" t="s">
        <v>31</v>
      </c>
      <c r="D8" s="5" t="s">
        <v>53</v>
      </c>
      <c r="E8" s="5" t="s">
        <v>54</v>
      </c>
      <c r="F8" s="5" t="s">
        <v>44</v>
      </c>
      <c r="G8" s="5" t="s">
        <v>62</v>
      </c>
      <c r="H8" s="6" t="n">
        <v>2000</v>
      </c>
      <c r="I8" s="6" t="n">
        <v>281</v>
      </c>
      <c r="J8" s="7" t="n">
        <f aca="false">I8/H8</f>
        <v>0.1405</v>
      </c>
      <c r="K8" s="8" t="n">
        <f aca="false">Circuits!$B$2</f>
        <v>0.115</v>
      </c>
      <c r="L8" s="8" t="n">
        <f aca="false">Circuits!$C$2</f>
        <v>0.356</v>
      </c>
      <c r="M8" s="7" t="n">
        <f aca="false">(J8-K8)/(L8-K8)</f>
        <v>0.105809128630705</v>
      </c>
      <c r="N8" s="9" t="n">
        <v>0.1</v>
      </c>
      <c r="O8" s="5" t="s">
        <v>56</v>
      </c>
      <c r="P8" s="5" t="s">
        <v>63</v>
      </c>
    </row>
    <row r="9" customFormat="false" ht="15" hidden="false" customHeight="false" outlineLevel="0" collapsed="false">
      <c r="A9" s="5" t="n">
        <v>9</v>
      </c>
      <c r="B9" s="5" t="s">
        <v>64</v>
      </c>
      <c r="C9" s="5" t="s">
        <v>31</v>
      </c>
      <c r="D9" s="5" t="s">
        <v>53</v>
      </c>
      <c r="E9" s="5" t="s">
        <v>54</v>
      </c>
      <c r="F9" s="5" t="s">
        <v>34</v>
      </c>
      <c r="G9" s="5" t="s">
        <v>65</v>
      </c>
      <c r="H9" s="6" t="n">
        <v>2000</v>
      </c>
      <c r="I9" s="6" t="n">
        <v>291</v>
      </c>
      <c r="J9" s="7" t="n">
        <f aca="false">I9/H9</f>
        <v>0.1455</v>
      </c>
      <c r="K9" s="8" t="n">
        <f aca="false">Circuits!$B$2</f>
        <v>0.115</v>
      </c>
      <c r="L9" s="8" t="n">
        <f aca="false">Circuits!$C$2</f>
        <v>0.356</v>
      </c>
      <c r="M9" s="7" t="n">
        <f aca="false">(J9-K9)/(L9-K9)</f>
        <v>0.12655601659751</v>
      </c>
      <c r="N9" s="9" t="n">
        <v>0.105</v>
      </c>
      <c r="O9" s="5" t="s">
        <v>56</v>
      </c>
      <c r="P9" s="5" t="s">
        <v>66</v>
      </c>
    </row>
    <row r="10" customFormat="false" ht="15" hidden="false" customHeight="false" outlineLevel="0" collapsed="false">
      <c r="A10" s="5" t="n">
        <v>9</v>
      </c>
      <c r="B10" s="5" t="s">
        <v>67</v>
      </c>
      <c r="C10" s="5" t="s">
        <v>31</v>
      </c>
      <c r="D10" s="5" t="s">
        <v>68</v>
      </c>
      <c r="E10" s="5" t="s">
        <v>69</v>
      </c>
      <c r="F10" s="5" t="s">
        <v>34</v>
      </c>
      <c r="G10" s="5" t="s">
        <v>70</v>
      </c>
      <c r="H10" s="6" t="n">
        <v>1000</v>
      </c>
      <c r="I10" s="6" t="n">
        <v>138</v>
      </c>
      <c r="J10" s="7" t="n">
        <f aca="false">I10/H10</f>
        <v>0.138</v>
      </c>
      <c r="K10" s="8" t="n">
        <f aca="false">Circuits!$B$2</f>
        <v>0.115</v>
      </c>
      <c r="L10" s="8" t="n">
        <f aca="false">Circuits!$C$2</f>
        <v>0.356</v>
      </c>
      <c r="M10" s="7" t="n">
        <f aca="false">(J10-K10)/(L10-K10)</f>
        <v>0.0954356846473029</v>
      </c>
      <c r="N10" s="9" t="n">
        <v>0.034</v>
      </c>
      <c r="O10" s="5" t="s">
        <v>71</v>
      </c>
      <c r="P10" s="5" t="s">
        <v>72</v>
      </c>
    </row>
    <row r="11" customFormat="false" ht="15" hidden="false" customHeight="false" outlineLevel="0" collapsed="false">
      <c r="A11" s="5" t="n">
        <v>9</v>
      </c>
      <c r="B11" s="5" t="s">
        <v>73</v>
      </c>
      <c r="C11" s="5" t="s">
        <v>74</v>
      </c>
      <c r="D11" s="5" t="s">
        <v>32</v>
      </c>
      <c r="E11" s="5" t="s">
        <v>75</v>
      </c>
      <c r="F11" s="5"/>
      <c r="G11" s="5" t="s">
        <v>76</v>
      </c>
      <c r="H11" s="6" t="n">
        <v>5000</v>
      </c>
      <c r="I11" s="6" t="n">
        <v>1194</v>
      </c>
      <c r="J11" s="7" t="n">
        <f aca="false">I11/H11</f>
        <v>0.2388</v>
      </c>
      <c r="K11" s="8" t="n">
        <f aca="false">Circuits!$B$2</f>
        <v>0.115</v>
      </c>
      <c r="L11" s="8" t="n">
        <f aca="false">Circuits!$C$2</f>
        <v>0.356</v>
      </c>
      <c r="M11" s="7" t="n">
        <f aca="false">(J11-K11)/(L11-K11)</f>
        <v>0.513692946058091</v>
      </c>
      <c r="N11" s="9" t="n">
        <v>0.457</v>
      </c>
      <c r="O11" s="5" t="s">
        <v>77</v>
      </c>
      <c r="P11" s="5" t="s">
        <v>78</v>
      </c>
    </row>
    <row r="12" customFormat="false" ht="15" hidden="false" customHeight="false" outlineLevel="0" collapsed="false">
      <c r="A12" s="5" t="n">
        <v>9</v>
      </c>
      <c r="B12" s="5" t="s">
        <v>79</v>
      </c>
      <c r="C12" s="5" t="s">
        <v>74</v>
      </c>
      <c r="D12" s="5" t="s">
        <v>53</v>
      </c>
      <c r="E12" s="5" t="s">
        <v>80</v>
      </c>
      <c r="F12" s="5"/>
      <c r="G12" s="5" t="s">
        <v>81</v>
      </c>
      <c r="H12" s="6" t="n">
        <v>2000</v>
      </c>
      <c r="I12" s="6" t="n">
        <v>514</v>
      </c>
      <c r="J12" s="7" t="n">
        <f aca="false">I12/H12</f>
        <v>0.257</v>
      </c>
      <c r="K12" s="8" t="n">
        <f aca="false">Circuits!$B$2</f>
        <v>0.115</v>
      </c>
      <c r="L12" s="8" t="n">
        <f aca="false">Circuits!$C$2</f>
        <v>0.356</v>
      </c>
      <c r="M12" s="7" t="n">
        <f aca="false">(J12-K12)/(L12-K12)</f>
        <v>0.589211618257262</v>
      </c>
      <c r="N12" s="9" t="n">
        <v>0.502</v>
      </c>
      <c r="O12" s="5" t="s">
        <v>82</v>
      </c>
      <c r="P12" s="5" t="s">
        <v>83</v>
      </c>
    </row>
    <row r="13" customFormat="false" ht="15" hidden="false" customHeight="false" outlineLevel="0" collapsed="false">
      <c r="A13" s="5" t="n">
        <v>12</v>
      </c>
      <c r="B13" s="5" t="s">
        <v>48</v>
      </c>
      <c r="C13" s="5" t="s">
        <v>31</v>
      </c>
      <c r="D13" s="5" t="s">
        <v>32</v>
      </c>
      <c r="E13" s="5" t="s">
        <v>84</v>
      </c>
      <c r="F13" s="5" t="s">
        <v>44</v>
      </c>
      <c r="G13" s="5" t="s">
        <v>85</v>
      </c>
      <c r="H13" s="6" t="n">
        <v>100</v>
      </c>
      <c r="I13" s="6" t="n">
        <v>13</v>
      </c>
      <c r="J13" s="7" t="n">
        <f aca="false">I13/H13</f>
        <v>0.13</v>
      </c>
      <c r="K13" s="8" t="n">
        <f aca="false">Circuits!$B$3</f>
        <v>0.04</v>
      </c>
      <c r="L13" s="8" t="n">
        <f aca="false">Circuits!$C$3</f>
        <v>0.158</v>
      </c>
      <c r="M13" s="7" t="n">
        <f aca="false">(J13-K13)/(L13-K13)</f>
        <v>0.76271186440678</v>
      </c>
      <c r="N13" s="9" t="n">
        <v>0.491</v>
      </c>
      <c r="O13" s="5" t="s">
        <v>86</v>
      </c>
      <c r="P13" s="5" t="s">
        <v>87</v>
      </c>
    </row>
    <row r="14" customFormat="false" ht="15" hidden="false" customHeight="false" outlineLevel="0" collapsed="false">
      <c r="A14" s="5" t="n">
        <v>12</v>
      </c>
      <c r="B14" s="5" t="s">
        <v>88</v>
      </c>
      <c r="C14" s="5" t="s">
        <v>31</v>
      </c>
      <c r="D14" s="5" t="s">
        <v>53</v>
      </c>
      <c r="E14" s="5" t="s">
        <v>54</v>
      </c>
      <c r="F14" s="5" t="s">
        <v>44</v>
      </c>
      <c r="G14" s="5" t="s">
        <v>89</v>
      </c>
      <c r="H14" s="6" t="n">
        <v>2000</v>
      </c>
      <c r="I14" s="6" t="n">
        <v>171</v>
      </c>
      <c r="J14" s="7" t="n">
        <f aca="false">I14/H14</f>
        <v>0.0855</v>
      </c>
      <c r="K14" s="8" t="n">
        <f aca="false">Circuits!$B$3</f>
        <v>0.04</v>
      </c>
      <c r="L14" s="8" t="n">
        <f aca="false">Circuits!$C$3</f>
        <v>0.158</v>
      </c>
      <c r="M14" s="7" t="n">
        <f aca="false">(J14-K14)/(L14-K14)</f>
        <v>0.385593220338983</v>
      </c>
      <c r="N14" s="9" t="n">
        <v>0.428</v>
      </c>
      <c r="O14" s="5" t="s">
        <v>90</v>
      </c>
      <c r="P14" s="5" t="s">
        <v>91</v>
      </c>
    </row>
    <row r="15" customFormat="false" ht="15" hidden="false" customHeight="false" outlineLevel="0" collapsed="false">
      <c r="A15" s="5" t="n">
        <v>12</v>
      </c>
      <c r="B15" s="5" t="s">
        <v>67</v>
      </c>
      <c r="C15" s="5" t="s">
        <v>31</v>
      </c>
      <c r="D15" s="5" t="s">
        <v>68</v>
      </c>
      <c r="E15" s="5" t="s">
        <v>69</v>
      </c>
      <c r="F15" s="5" t="s">
        <v>44</v>
      </c>
      <c r="G15" s="5" t="s">
        <v>92</v>
      </c>
      <c r="H15" s="6" t="n">
        <v>1000</v>
      </c>
      <c r="I15" s="6" t="n">
        <v>37</v>
      </c>
      <c r="J15" s="7" t="n">
        <f aca="false">I15/H15</f>
        <v>0.037</v>
      </c>
      <c r="K15" s="8" t="n">
        <f aca="false">Circuits!$B$3</f>
        <v>0.04</v>
      </c>
      <c r="L15" s="8" t="n">
        <f aca="false">Circuits!$C$3</f>
        <v>0.158</v>
      </c>
      <c r="M15" s="7" t="n">
        <f aca="false">(J15-K15)/(L15-K15)</f>
        <v>-0.0254237288135593</v>
      </c>
      <c r="N15" s="9" t="n">
        <v>0.022</v>
      </c>
      <c r="O15" s="5" t="s">
        <v>93</v>
      </c>
      <c r="P15" s="5" t="s">
        <v>94</v>
      </c>
    </row>
    <row r="16" customFormat="false" ht="15" hidden="false" customHeight="false" outlineLevel="0" collapsed="false">
      <c r="A16" s="5" t="n">
        <v>12</v>
      </c>
      <c r="B16" s="5" t="s">
        <v>95</v>
      </c>
      <c r="C16" s="5" t="s">
        <v>74</v>
      </c>
      <c r="D16" s="5" t="s">
        <v>32</v>
      </c>
      <c r="E16" s="5" t="s">
        <v>96</v>
      </c>
      <c r="F16" s="5"/>
      <c r="G16" s="5" t="s">
        <v>97</v>
      </c>
      <c r="H16" s="6" t="n">
        <v>300</v>
      </c>
      <c r="I16" s="6" t="n">
        <v>21</v>
      </c>
      <c r="J16" s="7" t="n">
        <f aca="false">I16/H16</f>
        <v>0.07</v>
      </c>
      <c r="K16" s="8" t="n">
        <f aca="false">Circuits!$B$3</f>
        <v>0.04</v>
      </c>
      <c r="L16" s="8" t="n">
        <f aca="false">Circuits!$C$3</f>
        <v>0.158</v>
      </c>
      <c r="M16" s="7" t="n">
        <f aca="false">(J16-K16)/(L16-K16)</f>
        <v>0.254237288135593</v>
      </c>
      <c r="N16" s="9" t="n">
        <v>0.375</v>
      </c>
      <c r="O16" s="5" t="s">
        <v>82</v>
      </c>
      <c r="P16" s="5" t="s">
        <v>98</v>
      </c>
    </row>
    <row r="17" customFormat="false" ht="15" hidden="false" customHeight="false" outlineLevel="0" collapsed="false">
      <c r="A17" s="5" t="n">
        <v>12</v>
      </c>
      <c r="B17" s="5" t="s">
        <v>99</v>
      </c>
      <c r="C17" s="5" t="s">
        <v>74</v>
      </c>
      <c r="D17" s="5" t="s">
        <v>32</v>
      </c>
      <c r="E17" s="5" t="s">
        <v>96</v>
      </c>
      <c r="F17" s="5"/>
      <c r="G17" s="5" t="s">
        <v>97</v>
      </c>
      <c r="H17" s="6" t="n">
        <v>300</v>
      </c>
      <c r="I17" s="6" t="n">
        <v>30</v>
      </c>
      <c r="J17" s="7" t="n">
        <f aca="false">I17/H17</f>
        <v>0.1</v>
      </c>
      <c r="K17" s="8" t="n">
        <f aca="false">Circuits!$B$3</f>
        <v>0.04</v>
      </c>
      <c r="L17" s="8" t="n">
        <f aca="false">Circuits!$C$3</f>
        <v>0.158</v>
      </c>
      <c r="M17" s="7" t="n">
        <f aca="false">(J17-K17)/(L17-K17)</f>
        <v>0.508474576271187</v>
      </c>
      <c r="N17" s="9" t="n">
        <v>0.317</v>
      </c>
      <c r="O17" s="5" t="s">
        <v>82</v>
      </c>
      <c r="P17" s="5" t="s">
        <v>100</v>
      </c>
    </row>
    <row r="18" customFormat="false" ht="15" hidden="false" customHeight="false" outlineLevel="0" collapsed="false">
      <c r="A18" s="5" t="n">
        <v>12</v>
      </c>
      <c r="B18" s="5" t="s">
        <v>101</v>
      </c>
      <c r="C18" s="5" t="s">
        <v>74</v>
      </c>
      <c r="D18" s="5" t="s">
        <v>32</v>
      </c>
      <c r="E18" s="5" t="s">
        <v>96</v>
      </c>
      <c r="F18" s="5"/>
      <c r="G18" s="5" t="s">
        <v>97</v>
      </c>
      <c r="H18" s="6" t="n">
        <v>1000</v>
      </c>
      <c r="I18" s="6" t="n">
        <v>90</v>
      </c>
      <c r="J18" s="7" t="n">
        <f aca="false">I18/H18</f>
        <v>0.09</v>
      </c>
      <c r="K18" s="8" t="n">
        <f aca="false">Circuits!$B$3</f>
        <v>0.04</v>
      </c>
      <c r="L18" s="8" t="n">
        <f aca="false">Circuits!$C$3</f>
        <v>0.158</v>
      </c>
      <c r="M18" s="7" t="n">
        <f aca="false">(J18-K18)/(L18-K18)</f>
        <v>0.423728813559322</v>
      </c>
      <c r="N18" s="9" t="n">
        <v>0.308</v>
      </c>
      <c r="O18" s="5" t="s">
        <v>82</v>
      </c>
      <c r="P18" s="5" t="s">
        <v>102</v>
      </c>
    </row>
    <row r="19" customFormat="false" ht="15" hidden="false" customHeight="false" outlineLevel="0" collapsed="false">
      <c r="A19" s="5" t="n">
        <v>12</v>
      </c>
      <c r="B19" s="5" t="s">
        <v>79</v>
      </c>
      <c r="C19" s="5" t="s">
        <v>74</v>
      </c>
      <c r="D19" s="5" t="s">
        <v>53</v>
      </c>
      <c r="E19" s="5" t="s">
        <v>80</v>
      </c>
      <c r="F19" s="5"/>
      <c r="G19" s="5" t="s">
        <v>81</v>
      </c>
      <c r="H19" s="6" t="n">
        <v>300</v>
      </c>
      <c r="I19" s="6" t="n">
        <v>37</v>
      </c>
      <c r="J19" s="7" t="n">
        <f aca="false">I19/H19</f>
        <v>0.123333333333333</v>
      </c>
      <c r="K19" s="8" t="n">
        <f aca="false">Circuits!$B$3</f>
        <v>0.04</v>
      </c>
      <c r="L19" s="8" t="n">
        <f aca="false">Circuits!$C$3</f>
        <v>0.158</v>
      </c>
      <c r="M19" s="7" t="n">
        <f aca="false">(J19-K19)/(L19-K19)</f>
        <v>0.706214689265537</v>
      </c>
      <c r="N19" s="9" t="n">
        <v>0.606</v>
      </c>
      <c r="O19" s="5" t="s">
        <v>82</v>
      </c>
      <c r="P19" s="5" t="s">
        <v>103</v>
      </c>
    </row>
    <row r="20" customFormat="false" ht="15" hidden="false" customHeight="false" outlineLevel="0" collapsed="false">
      <c r="A20" s="5" t="n">
        <v>12</v>
      </c>
      <c r="B20" s="5" t="s">
        <v>104</v>
      </c>
      <c r="C20" s="5" t="s">
        <v>74</v>
      </c>
      <c r="D20" s="5" t="s">
        <v>53</v>
      </c>
      <c r="E20" s="5" t="s">
        <v>105</v>
      </c>
      <c r="F20" s="5"/>
      <c r="G20" s="5" t="s">
        <v>81</v>
      </c>
      <c r="H20" s="6" t="n">
        <v>300</v>
      </c>
      <c r="I20" s="6" t="n">
        <v>19</v>
      </c>
      <c r="J20" s="7" t="n">
        <f aca="false">I20/H20</f>
        <v>0.0633333333333333</v>
      </c>
      <c r="K20" s="8" t="n">
        <f aca="false">Circuits!$B$3</f>
        <v>0.04</v>
      </c>
      <c r="L20" s="8" t="n">
        <f aca="false">Circuits!$C$3</f>
        <v>0.158</v>
      </c>
      <c r="M20" s="7" t="n">
        <f aca="false">(J20-K20)/(L20-K20)</f>
        <v>0.19774011299435</v>
      </c>
      <c r="N20" s="9" t="n">
        <v>0.53</v>
      </c>
      <c r="O20" s="5" t="s">
        <v>82</v>
      </c>
      <c r="P20" s="5" t="s">
        <v>106</v>
      </c>
    </row>
    <row r="21" customFormat="false" ht="15" hidden="false" customHeight="false" outlineLevel="0" collapsed="false">
      <c r="A21" s="5" t="n">
        <v>12</v>
      </c>
      <c r="B21" s="5" t="s">
        <v>107</v>
      </c>
      <c r="C21" s="5" t="s">
        <v>74</v>
      </c>
      <c r="D21" s="5" t="s">
        <v>53</v>
      </c>
      <c r="E21" s="5" t="s">
        <v>108</v>
      </c>
      <c r="F21" s="5"/>
      <c r="G21" s="5" t="s">
        <v>81</v>
      </c>
      <c r="H21" s="6" t="n">
        <v>300</v>
      </c>
      <c r="I21" s="6" t="n">
        <v>32</v>
      </c>
      <c r="J21" s="7" t="n">
        <f aca="false">I21/H21</f>
        <v>0.106666666666667</v>
      </c>
      <c r="K21" s="8" t="n">
        <f aca="false">Circuits!$B$3</f>
        <v>0.04</v>
      </c>
      <c r="L21" s="8" t="n">
        <f aca="false">Circuits!$C$3</f>
        <v>0.158</v>
      </c>
      <c r="M21" s="7" t="n">
        <f aca="false">(J21-K21)/(L21-K21)</f>
        <v>0.56497175141243</v>
      </c>
      <c r="N21" s="9" t="n">
        <v>0.41</v>
      </c>
      <c r="O21" s="5" t="s">
        <v>82</v>
      </c>
      <c r="P21" s="5" t="s">
        <v>109</v>
      </c>
    </row>
    <row r="22" customFormat="false" ht="15" hidden="false" customHeight="false" outlineLevel="0" collapsed="false">
      <c r="A22" s="5" t="n">
        <v>12</v>
      </c>
      <c r="B22" s="5" t="s">
        <v>110</v>
      </c>
      <c r="C22" s="5" t="s">
        <v>111</v>
      </c>
      <c r="D22" s="5" t="s">
        <v>112</v>
      </c>
      <c r="E22" s="5" t="s">
        <v>69</v>
      </c>
      <c r="F22" s="5" t="s">
        <v>44</v>
      </c>
      <c r="G22" s="5" t="s">
        <v>113</v>
      </c>
      <c r="H22" s="6" t="n">
        <v>1000</v>
      </c>
      <c r="I22" s="6" t="n">
        <v>141</v>
      </c>
      <c r="J22" s="7" t="n">
        <f aca="false">I22/H22</f>
        <v>0.141</v>
      </c>
      <c r="K22" s="8" t="n">
        <f aca="false">Circuits!$B$3</f>
        <v>0.04</v>
      </c>
      <c r="L22" s="8" t="n">
        <f aca="false">Circuits!$C$3</f>
        <v>0.158</v>
      </c>
      <c r="M22" s="7" t="n">
        <f aca="false">(J22-K22)/(L22-K22)</f>
        <v>0.85593220338983</v>
      </c>
      <c r="N22" s="9" t="n">
        <v>0.969</v>
      </c>
      <c r="O22" s="5" t="s">
        <v>114</v>
      </c>
      <c r="P22" s="5" t="s">
        <v>115</v>
      </c>
    </row>
    <row r="23" customFormat="false" ht="15" hidden="false" customHeight="false" outlineLevel="0" collapsed="false">
      <c r="A23" s="5" t="n">
        <v>12</v>
      </c>
      <c r="B23" s="5" t="s">
        <v>116</v>
      </c>
      <c r="C23" s="5" t="s">
        <v>111</v>
      </c>
      <c r="D23" s="5" t="s">
        <v>117</v>
      </c>
      <c r="E23" s="5" t="s">
        <v>118</v>
      </c>
      <c r="F23" s="5"/>
      <c r="G23" s="5" t="s">
        <v>81</v>
      </c>
      <c r="H23" s="6" t="n">
        <v>300</v>
      </c>
      <c r="I23" s="6" t="n">
        <v>54</v>
      </c>
      <c r="J23" s="7" t="n">
        <f aca="false">I23/H23</f>
        <v>0.18</v>
      </c>
      <c r="K23" s="8" t="n">
        <f aca="false">Circuits!$B$3</f>
        <v>0.04</v>
      </c>
      <c r="L23" s="8" t="n">
        <f aca="false">Circuits!$C$3</f>
        <v>0.158</v>
      </c>
      <c r="M23" s="7" t="n">
        <f aca="false">(J23-K23)/(L23-K23)</f>
        <v>1.1864406779661</v>
      </c>
      <c r="N23" s="9" t="n">
        <v>1.171</v>
      </c>
      <c r="O23" s="5" t="s">
        <v>82</v>
      </c>
      <c r="P23" s="5" t="s">
        <v>119</v>
      </c>
    </row>
  </sheetData>
  <autoFilter ref="A1:P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24"/>
  </cols>
  <sheetData>
    <row r="1" customFormat="false" ht="35.05" hidden="false" customHeight="false" outlineLevel="0" collapsed="false">
      <c r="A1" s="4" t="s">
        <v>14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  <c r="H1" s="4" t="s">
        <v>126</v>
      </c>
    </row>
    <row r="2" customFormat="false" ht="15" hidden="false" customHeight="false" outlineLevel="0" collapsed="false">
      <c r="A2" s="10" t="n">
        <v>9</v>
      </c>
      <c r="B2" s="11" t="n">
        <v>0.115</v>
      </c>
      <c r="C2" s="11" t="n">
        <v>0.356</v>
      </c>
      <c r="D2" s="10" t="n">
        <v>108</v>
      </c>
      <c r="E2" s="10" t="n">
        <v>3</v>
      </c>
      <c r="F2" s="10" t="n">
        <v>0.45</v>
      </c>
      <c r="G2" s="10" t="n">
        <v>3</v>
      </c>
      <c r="H2" s="10" t="s">
        <v>127</v>
      </c>
    </row>
    <row r="3" customFormat="false" ht="15" hidden="false" customHeight="false" outlineLevel="0" collapsed="false">
      <c r="A3" s="10" t="n">
        <v>12</v>
      </c>
      <c r="B3" s="11" t="n">
        <v>0.04</v>
      </c>
      <c r="C3" s="11" t="n">
        <v>0.158</v>
      </c>
      <c r="D3" s="10" t="n">
        <v>198</v>
      </c>
      <c r="E3" s="10" t="n">
        <v>3</v>
      </c>
      <c r="F3" s="10" t="n">
        <v>0.3</v>
      </c>
      <c r="G3" s="10" t="n">
        <v>3</v>
      </c>
      <c r="H3" s="1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2026-10-11T22:05:44Z</dcterms:created>
  <dc:creator>openpyxl</dc:creator>
  <dc:description/>
  <dc:language>en-US</dc:language>
  <cp:lastModifiedBy/>
  <dcterms:modified xsi:type="dcterms:W3CDTF">2026-10-11T22:05:44Z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